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mc:AlternateContent xmlns:mc="http://schemas.openxmlformats.org/markup-compatibility/2006">
    <mc:Choice Requires="x15">
      <x15ac:absPath xmlns:x15ac="http://schemas.microsoft.com/office/spreadsheetml/2010/11/ac" url="https://advicefac-my.sharepoint.com/personal/kevin_mcaleer_advicefactory_co_uk/Documents/"/>
    </mc:Choice>
  </mc:AlternateContent>
  <xr:revisionPtr revIDLastSave="0" documentId="8_{F5048128-6A13-46F6-8C6F-39FEF3E129A8}" xr6:coauthVersionLast="47" xr6:coauthVersionMax="47" xr10:uidLastSave="{00000000-0000-0000-0000-000000000000}"/>
  <bookViews>
    <workbookView xWindow="240" yWindow="620" windowWidth="19980" windowHeight="11340" xr2:uid="{00000000-000D-0000-FFFF-FFFF00000000}"/>
  </bookViews>
  <sheets>
    <sheet name="Gears" sheetId="2" r:id="rId1"/>
    <sheet name="Backup" sheetId="1" state="hidden" r:id="rId2"/>
  </sheets>
  <definedNames>
    <definedName name="MODULE" localSheetId="0">Gears!$C$21:$C$21</definedName>
    <definedName name="MODULE">Backup!$C$21:$C$21</definedName>
    <definedName name="NUMBER_OF_TEETH" localSheetId="0">Gears!$C$20:$C$20</definedName>
    <definedName name="NUMBER_OF_TEETH">Backup!$C$20:$C$20</definedName>
    <definedName name="OUTER_DIAMETER" localSheetId="0">Gears!$C$19:$C$19</definedName>
    <definedName name="OUTER_DIAMETER">Backup!$C$19:$C$19</definedName>
    <definedName name="PITCH_DIAMETER" localSheetId="0">Gears!$C$22:$C$22</definedName>
    <definedName name="PITCH_DIAMETER">Backup!$C$22:$C$22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" l="1"/>
  <c r="C26" i="2"/>
  <c r="C21" i="2" a="1"/>
  <c r="C21" i="2" s="1"/>
  <c r="C22" i="2" s="1" a="1"/>
  <c r="C22" i="2" s="1"/>
  <c r="C24" i="2" s="1" a="1"/>
  <c r="C24" i="2" s="1"/>
  <c r="C15" i="2"/>
  <c r="C21" i="1" a="1"/>
  <c r="C21" i="1"/>
  <c r="C22" i="1" s="1" a="1"/>
  <c r="C22" i="1" s="1"/>
  <c r="C25" i="1" s="1" a="1"/>
  <c r="C25" i="1" s="1"/>
  <c r="C23" i="1"/>
  <c r="C15" i="1"/>
  <c r="C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<sst xmlns="http://schemas.openxmlformats.org/spreadsheetml/2006/main" count="52" uniqueCount="22">
  <si>
    <t>Setting</t>
  </si>
  <si>
    <t>Value</t>
  </si>
  <si>
    <t>Standard</t>
  </si>
  <si>
    <t>Metric</t>
  </si>
  <si>
    <t>Pressure Angle</t>
  </si>
  <si>
    <t>Module</t>
  </si>
  <si>
    <t>Number of Teeth</t>
  </si>
  <si>
    <t>Backlash</t>
  </si>
  <si>
    <t>Root Fillet Radius</t>
  </si>
  <si>
    <t>Gear Thickness</t>
  </si>
  <si>
    <t>Hole Diameter</t>
  </si>
  <si>
    <t>Pitch Diameter</t>
  </si>
  <si>
    <t>Module * Number of Teeth</t>
  </si>
  <si>
    <t>Module  = Pitch * Pi</t>
  </si>
  <si>
    <t>Outer Diameter</t>
  </si>
  <si>
    <t>Outer Diameter / (Number of Teeth + 2)</t>
  </si>
  <si>
    <t>Distance between Teeth</t>
  </si>
  <si>
    <t>(Pitch Diameter * Pi) / Number of Teeth</t>
  </si>
  <si>
    <t>Rotation Angle</t>
  </si>
  <si>
    <t>Number of teeth</t>
  </si>
  <si>
    <t>Diameter</t>
  </si>
  <si>
    <t>Tooth gear rail from center of gear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</si>
</sst>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12">
    <xf numFmtId="0" fontId="0" fillId="0" borderId="0" xfId="0"/>
    <xf numFmtId="0" fontId="3" fillId="0" borderId="0" xfId="0" applyFont="1"/>
    <xf numFmtId="0" fontId="2" fillId="3" borderId="1" xfId="2"/>
    <xf numFmtId="0" fontId="1" fillId="2" borderId="1" xfId="1" applyBorder="1"/>
    <xf numFmtId="0" fontId="1" fillId="2" borderId="0" xfId="1"/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1" fillId="2" borderId="5" xfId="1" applyBorder="1" applyAlignment="1">
      <alignment horizontal="right"/>
    </xf>
  </cellXfs>
  <cellStyles count="3">
    <cellStyle name="Calculation" xfId="2" builtinId="22"/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E61AD-D890-461C-AC57-2F2E2230AEAB}">
  <dimension ref="B3:E26"/>
  <sheetViews>
    <sheetView tabSelected="1" workbookViewId="0">
      <selection activeCell="C7" sqref="C7"/>
    </sheetView>
  </sheetViews>
  <sheetFormatPr defaultColWidth="8.85546875" defaultRowHeight="15"/>
  <cols>
    <col min="2" max="2" width="29.42578125" bestFit="1" customWidth="1"/>
    <col min="3" max="3" width="11.42578125" bestFit="1" customWidth="1"/>
    <col min="5" max="5" width="34" bestFit="1" customWidth="1"/>
  </cols>
  <sheetData>
    <row r="3" spans="2:5">
      <c r="B3" s="5" t="s">
        <v>0</v>
      </c>
      <c r="C3" s="6" t="s">
        <v>1</v>
      </c>
    </row>
    <row r="4" spans="2:5">
      <c r="B4" s="7" t="s">
        <v>2</v>
      </c>
      <c r="C4" s="8" t="s">
        <v>3</v>
      </c>
    </row>
    <row r="5" spans="2:5">
      <c r="B5" s="7" t="s">
        <v>4</v>
      </c>
      <c r="C5" s="8">
        <v>20</v>
      </c>
    </row>
    <row r="6" spans="2:5">
      <c r="B6" s="7" t="s">
        <v>5</v>
      </c>
      <c r="C6" s="11">
        <v>2.5</v>
      </c>
    </row>
    <row r="7" spans="2:5">
      <c r="B7" s="7" t="s">
        <v>6</v>
      </c>
      <c r="C7" s="11">
        <v>12</v>
      </c>
    </row>
    <row r="8" spans="2:5">
      <c r="B8" s="7" t="s">
        <v>7</v>
      </c>
      <c r="C8" s="8">
        <v>0</v>
      </c>
    </row>
    <row r="9" spans="2:5">
      <c r="B9" s="7" t="s">
        <v>8</v>
      </c>
      <c r="C9" s="8">
        <v>0.9</v>
      </c>
    </row>
    <row r="10" spans="2:5">
      <c r="B10" s="7" t="s">
        <v>9</v>
      </c>
      <c r="C10" s="8">
        <v>3</v>
      </c>
    </row>
    <row r="11" spans="2:5">
      <c r="B11" s="9" t="s">
        <v>10</v>
      </c>
      <c r="C11" s="10">
        <v>3</v>
      </c>
    </row>
    <row r="13" spans="2:5">
      <c r="B13" s="1" t="s">
        <v>11</v>
      </c>
      <c r="C13" s="2">
        <f>C6*C7</f>
        <v>30</v>
      </c>
      <c r="E13" t="s">
        <v>12</v>
      </c>
    </row>
    <row r="15" spans="2:5">
      <c r="B15" s="1" t="s">
        <v>5</v>
      </c>
      <c r="C15" s="2">
        <f>C17/C16</f>
        <v>2.5</v>
      </c>
      <c r="E15" t="s">
        <v>13</v>
      </c>
    </row>
    <row r="16" spans="2:5">
      <c r="B16" t="s">
        <v>6</v>
      </c>
      <c r="C16" s="4">
        <v>12</v>
      </c>
    </row>
    <row r="17" spans="2:5">
      <c r="B17" t="s">
        <v>11</v>
      </c>
      <c r="C17" s="3">
        <v>30</v>
      </c>
    </row>
    <row r="19" spans="2:5">
      <c r="B19" t="s">
        <v>14</v>
      </c>
      <c r="C19" s="4">
        <v>30</v>
      </c>
    </row>
    <row r="20" spans="2:5">
      <c r="B20" t="s">
        <v>6</v>
      </c>
      <c r="C20" s="4">
        <v>12</v>
      </c>
    </row>
    <row r="21" spans="2:5">
      <c r="B21" s="1" t="s">
        <v>5</v>
      </c>
      <c r="C21" s="2" cm="1">
        <f t="array" ref="C21">OUTER_DIAMETER/(NUMBER_OF_TEETH + 2)</f>
        <v>2.1428571428571428</v>
      </c>
      <c r="E21" t="s">
        <v>15</v>
      </c>
    </row>
    <row r="22" spans="2:5">
      <c r="B22" s="1" t="s">
        <v>11</v>
      </c>
      <c r="C22" s="2" cm="1">
        <f t="array" ref="C22">MODULE*NUMBER_OF_TEETH</f>
        <v>25.714285714285715</v>
      </c>
      <c r="E22" t="s">
        <v>12</v>
      </c>
    </row>
    <row r="24" spans="2:5">
      <c r="B24" t="s">
        <v>16</v>
      </c>
      <c r="C24" s="2" cm="1">
        <f t="array" ref="C24">PITCH_DIAMETER*PI()/NUMBER_OF_TEETH</f>
        <v>6.7319842576924138</v>
      </c>
      <c r="E24" t="s">
        <v>17</v>
      </c>
    </row>
    <row r="26" spans="2:5">
      <c r="B26" t="s">
        <v>18</v>
      </c>
      <c r="C26">
        <f>(360/C20) /2</f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27"/>
  <sheetViews>
    <sheetView topLeftCell="A5" workbookViewId="0">
      <selection activeCell="C23" sqref="C23"/>
    </sheetView>
  </sheetViews>
  <sheetFormatPr defaultColWidth="8.85546875" defaultRowHeight="15"/>
  <cols>
    <col min="2" max="2" width="29.42578125" bestFit="1" customWidth="1"/>
    <col min="3" max="3" width="11.42578125" bestFit="1" customWidth="1"/>
    <col min="5" max="5" width="34" bestFit="1" customWidth="1"/>
  </cols>
  <sheetData>
    <row r="3" spans="2:5">
      <c r="B3" t="s">
        <v>0</v>
      </c>
      <c r="C3" t="s">
        <v>1</v>
      </c>
    </row>
    <row r="4" spans="2:5">
      <c r="B4" t="s">
        <v>2</v>
      </c>
      <c r="C4" t="s">
        <v>3</v>
      </c>
    </row>
    <row r="5" spans="2:5">
      <c r="B5" t="s">
        <v>4</v>
      </c>
      <c r="C5">
        <v>20</v>
      </c>
    </row>
    <row r="6" spans="2:5">
      <c r="B6" t="s">
        <v>5</v>
      </c>
      <c r="C6">
        <v>1.5416666699999999</v>
      </c>
      <c r="E6" t="s">
        <v>13</v>
      </c>
    </row>
    <row r="7" spans="2:5">
      <c r="B7" t="s">
        <v>6</v>
      </c>
      <c r="C7">
        <v>10</v>
      </c>
    </row>
    <row r="8" spans="2:5">
      <c r="B8" t="s">
        <v>7</v>
      </c>
      <c r="C8">
        <v>0</v>
      </c>
    </row>
    <row r="9" spans="2:5">
      <c r="B9" t="s">
        <v>8</v>
      </c>
      <c r="C9">
        <v>0.9</v>
      </c>
    </row>
    <row r="10" spans="2:5">
      <c r="B10" t="s">
        <v>9</v>
      </c>
      <c r="C10">
        <v>3</v>
      </c>
    </row>
    <row r="11" spans="2:5">
      <c r="B11" t="s">
        <v>10</v>
      </c>
      <c r="C11">
        <v>3</v>
      </c>
    </row>
    <row r="13" spans="2:5">
      <c r="B13" t="s">
        <v>11</v>
      </c>
      <c r="C13">
        <f>C6*C7</f>
        <v>15.416666699999999</v>
      </c>
    </row>
    <row r="15" spans="2:5">
      <c r="B15" s="1" t="s">
        <v>5</v>
      </c>
      <c r="C15" s="2">
        <f>C17/C16</f>
        <v>1.5416666700000001</v>
      </c>
    </row>
    <row r="16" spans="2:5">
      <c r="B16" t="s">
        <v>19</v>
      </c>
      <c r="C16" s="4">
        <v>10</v>
      </c>
    </row>
    <row r="17" spans="2:5">
      <c r="B17" t="s">
        <v>20</v>
      </c>
      <c r="C17" s="3">
        <v>15.4166667</v>
      </c>
    </row>
    <row r="19" spans="2:5">
      <c r="B19" t="s">
        <v>14</v>
      </c>
      <c r="C19" s="4">
        <v>18.5</v>
      </c>
    </row>
    <row r="20" spans="2:5">
      <c r="B20" t="s">
        <v>6</v>
      </c>
      <c r="C20" s="4">
        <v>10</v>
      </c>
    </row>
    <row r="21" spans="2:5">
      <c r="B21" t="s">
        <v>5</v>
      </c>
      <c r="C21" s="2" cm="1">
        <f t="array" ref="C21">OUTER_DIAMETER/(NUMBER_OF_TEETH + 2)</f>
        <v>1.5416666666666667</v>
      </c>
      <c r="E21" t="s">
        <v>15</v>
      </c>
    </row>
    <row r="22" spans="2:5">
      <c r="B22" t="s">
        <v>11</v>
      </c>
      <c r="C22" cm="1">
        <f t="array" ref="C22">MODULE*NUMBER_OF_TEETH</f>
        <v>15.416666666666668</v>
      </c>
      <c r="E22" t="s">
        <v>12</v>
      </c>
    </row>
    <row r="23" spans="2:5">
      <c r="B23" t="s">
        <v>18</v>
      </c>
      <c r="C23">
        <f>(360/C20)/2</f>
        <v>18</v>
      </c>
    </row>
    <row r="25" spans="2:5">
      <c r="B25" t="s">
        <v>16</v>
      </c>
      <c r="C25" cm="1">
        <f t="array" ref="C25">PITCH_DIAMETER*PI()/NUMBER_OF_TEETH</f>
        <v>4.8432886742842651</v>
      </c>
      <c r="E25" t="s">
        <v>17</v>
      </c>
    </row>
    <row r="27" spans="2:5">
      <c r="B27" t="s">
        <v>21</v>
      </c>
      <c r="C27">
        <v>25.715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2025-06-23T09:10:33Z</dcterms:created>
  <dcterms:modified xsi:type="dcterms:W3CDTF">2025-11-17T11:46:01Z</dcterms:modified>
  <cp:category/>
  <cp:contentStatus/>
</cp:coreProperties>
</file>